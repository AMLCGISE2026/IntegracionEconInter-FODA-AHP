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.7.2" sheetId="1" r:id="rId4"/>
  </sheets>
  <definedNames>
    <definedName localSheetId="0" name="Imprimir_área_IM">'4.7.2'!$A$1:$F$27</definedName>
  </definedNames>
  <calcPr/>
  <extLst>
    <ext uri="GoogleSheetsCustomDataVersion2">
      <go:sheetsCustomData xmlns:go="http://customooxmlschemas.google.com/" r:id="rId5" roundtripDataChecksum="g1d+9LIMUUUob9pdHFZzS7U2hA/Cuu1SSy+T9BCT8VI="/>
    </ext>
  </extLst>
</workbook>
</file>

<file path=xl/sharedStrings.xml><?xml version="1.0" encoding="utf-8"?>
<sst xmlns="http://schemas.openxmlformats.org/spreadsheetml/2006/main" count="54" uniqueCount="33">
  <si>
    <t>4.7.2 - Longitud de la red vial del Uruguay, por tipo de pavimento y departamento (kilómetros) - 2024</t>
  </si>
  <si>
    <t>Departamento (1)</t>
  </si>
  <si>
    <t xml:space="preserve">   Total</t>
  </si>
  <si>
    <t xml:space="preserve">   Hormigón</t>
  </si>
  <si>
    <t xml:space="preserve">  Concreto</t>
  </si>
  <si>
    <t xml:space="preserve">  Tratamiento</t>
  </si>
  <si>
    <t xml:space="preserve">   Tosca</t>
  </si>
  <si>
    <t xml:space="preserve">  asfáltico</t>
  </si>
  <si>
    <t xml:space="preserve">  bituminoso</t>
  </si>
  <si>
    <t>Total País</t>
  </si>
  <si>
    <t>Artigas</t>
  </si>
  <si>
    <t>Canelones</t>
  </si>
  <si>
    <t>-</t>
  </si>
  <si>
    <t>Cerro Largo</t>
  </si>
  <si>
    <t>Colonia</t>
  </si>
  <si>
    <t>Durazno</t>
  </si>
  <si>
    <t>Flores</t>
  </si>
  <si>
    <t>Florida</t>
  </si>
  <si>
    <t>Lavalleja</t>
  </si>
  <si>
    <t>Maldonado</t>
  </si>
  <si>
    <t>Montevideo</t>
  </si>
  <si>
    <t>Paysandú</t>
  </si>
  <si>
    <t>Río Negro</t>
  </si>
  <si>
    <t>Rivera</t>
  </si>
  <si>
    <t>Rocha</t>
  </si>
  <si>
    <t>Salto</t>
  </si>
  <si>
    <t>San José</t>
  </si>
  <si>
    <t>Soriano</t>
  </si>
  <si>
    <t>Tacuarembó</t>
  </si>
  <si>
    <t>Treinta y Tres</t>
  </si>
  <si>
    <t>Fuente: Ministerio de Transporte y Obras Públicas (MTOP) - Dirección Nacional de Vialidad.</t>
  </si>
  <si>
    <t>Nota: Comprende solamente la red vial a cargo del MTOP.</t>
  </si>
  <si>
    <t>(1): Ver mapa de red vial.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</si>
</sst>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rgb="FF000000"/>
      <name val="Courier"/>
      <scheme val="minor"/>
    </font>
    <font>
      <b/>
      <sz val="12.0"/>
      <color theme="0"/>
      <name val="Arial"/>
    </font>
    <font/>
    <font>
      <b/>
      <sz val="9.0"/>
      <color theme="1"/>
      <name val="Arial"/>
    </font>
    <font>
      <sz val="9.0"/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99"/>
        <bgColor rgb="FF666699"/>
      </patternFill>
    </fill>
    <fill>
      <patternFill patternType="solid">
        <fgColor theme="0"/>
        <bgColor theme="0"/>
      </patternFill>
    </fill>
  </fills>
  <borders count="11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left" shrinkToFit="0" vertical="bottom" wrapText="0"/>
    </xf>
    <xf borderId="4" fillId="3" fontId="3" numFmtId="0" xfId="0" applyAlignment="1" applyBorder="1" applyFont="1">
      <alignment shrinkToFit="0" vertical="bottom" wrapText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2" fontId="1" numFmtId="0" xfId="0" applyAlignment="1" applyBorder="1" applyFont="1">
      <alignment horizontal="left" shrinkToFit="0" vertical="bottom" wrapText="0"/>
    </xf>
    <xf borderId="4" fillId="3" fontId="3" numFmtId="0" xfId="0" applyAlignment="1" applyBorder="1" applyFont="1">
      <alignment horizontal="left" shrinkToFit="0" vertical="bottom" wrapText="0"/>
    </xf>
    <xf borderId="4" fillId="3" fontId="3" numFmtId="0" xfId="0" applyAlignment="1" applyBorder="1" applyFont="1">
      <alignment horizontal="right" shrinkToFit="0" vertical="bottom" wrapText="0"/>
    </xf>
    <xf borderId="4" fillId="3" fontId="4" numFmtId="0" xfId="0" applyAlignment="1" applyBorder="1" applyFont="1">
      <alignment shrinkToFit="0" vertical="bottom" wrapText="0"/>
    </xf>
    <xf borderId="4" fillId="3" fontId="3" numFmtId="3" xfId="0" applyAlignment="1" applyBorder="1" applyFont="1" applyNumberFormat="1">
      <alignment horizontal="right" shrinkToFit="0" vertical="bottom" wrapText="0"/>
    </xf>
    <xf borderId="4" fillId="3" fontId="4" numFmtId="3" xfId="0" applyAlignment="1" applyBorder="1" applyFont="1" applyNumberFormat="1">
      <alignment horizontal="right" shrinkToFit="0" vertical="bottom" wrapText="0"/>
    </xf>
    <xf borderId="4" fillId="3" fontId="4" numFmtId="0" xfId="0" applyAlignment="1" applyBorder="1" applyFont="1">
      <alignment horizontal="right" shrinkToFit="0" vertical="bottom" wrapText="0"/>
    </xf>
    <xf borderId="4" fillId="3" fontId="4" numFmtId="3" xfId="0" applyAlignment="1" applyBorder="1" applyFont="1" applyNumberForma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8" fillId="3" fontId="3" numFmtId="0" xfId="0" applyAlignment="1" applyBorder="1" applyFont="1">
      <alignment shrinkToFit="0" vertical="bottom" wrapText="1"/>
    </xf>
    <xf borderId="9" fillId="0" fontId="2" numFmtId="0" xfId="0" applyBorder="1" applyFont="1"/>
    <xf borderId="10" fillId="0" fontId="2" numFmtId="0" xfId="0" applyBorder="1" applyFont="1"/>
    <xf borderId="8" fillId="3" fontId="3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0.1" defaultRowHeight="15.0"/>
  <cols>
    <col customWidth="1" min="1" max="1" width="18.3"/>
    <col customWidth="1" min="2" max="6" width="10.1"/>
    <col customWidth="1" min="7" max="7" width="9.7"/>
    <col customWidth="1" min="8" max="26" width="10.0"/>
  </cols>
  <sheetData>
    <row r="1">
      <c r="A1" s="1" t="s">
        <v>0</v>
      </c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/>
      <c r="C2" s="7"/>
      <c r="D2" s="7"/>
      <c r="E2" s="7"/>
      <c r="F2" s="8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9.0" customHeight="1">
      <c r="A3" s="9"/>
      <c r="B3" s="9"/>
      <c r="C3" s="9"/>
      <c r="D3" s="9"/>
      <c r="E3" s="9"/>
      <c r="F3" s="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0"/>
      <c r="B5" s="11"/>
      <c r="C5" s="11"/>
      <c r="D5" s="11" t="s">
        <v>7</v>
      </c>
      <c r="E5" s="11" t="s">
        <v>8</v>
      </c>
      <c r="F5" s="11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9.0" customHeight="1">
      <c r="A6" s="5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10" t="s">
        <v>9</v>
      </c>
      <c r="B7" s="13">
        <f t="shared" ref="B7:F7" si="1">SUM(B9:B27)</f>
        <v>8940.402</v>
      </c>
      <c r="C7" s="13">
        <f t="shared" si="1"/>
        <v>516.155</v>
      </c>
      <c r="D7" s="13">
        <f t="shared" si="1"/>
        <v>5110.84</v>
      </c>
      <c r="E7" s="13">
        <f t="shared" si="1"/>
        <v>3089.507</v>
      </c>
      <c r="F7" s="13">
        <f t="shared" si="1"/>
        <v>223.9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9.0" customHeight="1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10" t="s">
        <v>10</v>
      </c>
      <c r="B9" s="13">
        <f t="shared" ref="B9:B27" si="2">SUM(C9:F9)</f>
        <v>394.05</v>
      </c>
      <c r="C9" s="14">
        <v>1.45</v>
      </c>
      <c r="D9" s="14">
        <v>173.4</v>
      </c>
      <c r="E9" s="14">
        <v>197.0</v>
      </c>
      <c r="F9" s="14">
        <v>22.2</v>
      </c>
      <c r="G9" s="15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10" t="s">
        <v>11</v>
      </c>
      <c r="B10" s="13">
        <f t="shared" si="2"/>
        <v>1139.44</v>
      </c>
      <c r="C10" s="14">
        <v>40.14</v>
      </c>
      <c r="D10" s="14">
        <v>931.45</v>
      </c>
      <c r="E10" s="14">
        <v>167.85</v>
      </c>
      <c r="F10" s="14" t="s">
        <v>12</v>
      </c>
      <c r="G10" s="15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0" t="s">
        <v>13</v>
      </c>
      <c r="B11" s="13">
        <f t="shared" si="2"/>
        <v>488.35</v>
      </c>
      <c r="C11" s="14">
        <v>6.7</v>
      </c>
      <c r="D11" s="14">
        <v>111.9</v>
      </c>
      <c r="E11" s="14">
        <v>369.75</v>
      </c>
      <c r="F11" s="14" t="s">
        <v>12</v>
      </c>
      <c r="G11" s="15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0" t="s">
        <v>14</v>
      </c>
      <c r="B12" s="13">
        <f t="shared" si="2"/>
        <v>571.3</v>
      </c>
      <c r="C12" s="14">
        <v>50.6</v>
      </c>
      <c r="D12" s="14">
        <v>412.8</v>
      </c>
      <c r="E12" s="14">
        <v>107.9</v>
      </c>
      <c r="F12" s="14" t="s">
        <v>12</v>
      </c>
      <c r="G12" s="15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0" t="s">
        <v>15</v>
      </c>
      <c r="B13" s="13">
        <f t="shared" si="2"/>
        <v>434.15</v>
      </c>
      <c r="C13" s="14">
        <v>7.88</v>
      </c>
      <c r="D13" s="14">
        <v>183.0</v>
      </c>
      <c r="E13" s="14">
        <v>165.57</v>
      </c>
      <c r="F13" s="14">
        <v>77.7</v>
      </c>
      <c r="G13" s="15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0" t="s">
        <v>16</v>
      </c>
      <c r="B14" s="13">
        <f t="shared" si="2"/>
        <v>287.05</v>
      </c>
      <c r="C14" s="14">
        <v>52.95</v>
      </c>
      <c r="D14" s="14">
        <v>183.3</v>
      </c>
      <c r="E14" s="14">
        <v>50.8</v>
      </c>
      <c r="F14" s="14" t="s">
        <v>12</v>
      </c>
      <c r="G14" s="15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0" t="s">
        <v>17</v>
      </c>
      <c r="B15" s="13">
        <f t="shared" si="2"/>
        <v>608.23</v>
      </c>
      <c r="C15" s="14" t="s">
        <v>12</v>
      </c>
      <c r="D15" s="14">
        <v>228.73</v>
      </c>
      <c r="E15" s="14">
        <v>379.5</v>
      </c>
      <c r="F15" s="14" t="s">
        <v>12</v>
      </c>
      <c r="G15" s="15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0" t="s">
        <v>18</v>
      </c>
      <c r="B16" s="13">
        <f t="shared" si="2"/>
        <v>286.9</v>
      </c>
      <c r="C16" s="14" t="s">
        <v>12</v>
      </c>
      <c r="D16" s="14">
        <v>187.1</v>
      </c>
      <c r="E16" s="14">
        <v>99.8</v>
      </c>
      <c r="F16" s="14" t="s">
        <v>12</v>
      </c>
      <c r="G16" s="15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0" t="s">
        <v>19</v>
      </c>
      <c r="B17" s="13">
        <f t="shared" si="2"/>
        <v>371.61</v>
      </c>
      <c r="C17" s="14" t="s">
        <v>12</v>
      </c>
      <c r="D17" s="14">
        <v>245.76</v>
      </c>
      <c r="E17" s="14">
        <v>125.85</v>
      </c>
      <c r="F17" s="14" t="s">
        <v>12</v>
      </c>
      <c r="G17" s="15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0" t="s">
        <v>20</v>
      </c>
      <c r="B18" s="13">
        <f t="shared" si="2"/>
        <v>152.52</v>
      </c>
      <c r="C18" s="14">
        <v>103.52</v>
      </c>
      <c r="D18" s="14">
        <v>49.0</v>
      </c>
      <c r="E18" s="14" t="s">
        <v>12</v>
      </c>
      <c r="F18" s="14" t="s">
        <v>12</v>
      </c>
      <c r="G18" s="15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0" t="s">
        <v>21</v>
      </c>
      <c r="B19" s="13">
        <f t="shared" si="2"/>
        <v>430.9</v>
      </c>
      <c r="C19" s="14">
        <v>10.8</v>
      </c>
      <c r="D19" s="14">
        <v>355.0</v>
      </c>
      <c r="E19" s="14">
        <v>65.1</v>
      </c>
      <c r="F19" s="14" t="s">
        <v>12</v>
      </c>
      <c r="G19" s="15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0" t="s">
        <v>22</v>
      </c>
      <c r="B20" s="13">
        <f t="shared" si="2"/>
        <v>453.9</v>
      </c>
      <c r="C20" s="14">
        <v>109.5</v>
      </c>
      <c r="D20" s="14">
        <v>284.6</v>
      </c>
      <c r="E20" s="14">
        <v>59.8</v>
      </c>
      <c r="F20" s="14" t="s">
        <v>12</v>
      </c>
      <c r="G20" s="15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0" t="s">
        <v>23</v>
      </c>
      <c r="B21" s="13">
        <f t="shared" si="2"/>
        <v>430.5</v>
      </c>
      <c r="C21" s="14" t="s">
        <v>12</v>
      </c>
      <c r="D21" s="14">
        <v>166.4</v>
      </c>
      <c r="E21" s="14">
        <v>245.7</v>
      </c>
      <c r="F21" s="14">
        <v>18.4</v>
      </c>
      <c r="G21" s="15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0" t="s">
        <v>24</v>
      </c>
      <c r="B22" s="13">
        <f t="shared" si="2"/>
        <v>646.5</v>
      </c>
      <c r="C22" s="14" t="s">
        <v>12</v>
      </c>
      <c r="D22" s="14">
        <v>331.5</v>
      </c>
      <c r="E22" s="14">
        <v>222.9</v>
      </c>
      <c r="F22" s="14">
        <v>92.1</v>
      </c>
      <c r="G22" s="15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0" t="s">
        <v>25</v>
      </c>
      <c r="B23" s="13">
        <f t="shared" si="2"/>
        <v>328.4</v>
      </c>
      <c r="C23" s="14" t="s">
        <v>12</v>
      </c>
      <c r="D23" s="14">
        <v>118.0</v>
      </c>
      <c r="E23" s="14">
        <v>210.4</v>
      </c>
      <c r="F23" s="14" t="s">
        <v>12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0" t="s">
        <v>26</v>
      </c>
      <c r="B24" s="13">
        <f t="shared" si="2"/>
        <v>464.557</v>
      </c>
      <c r="C24" s="14">
        <v>91.65</v>
      </c>
      <c r="D24" s="14">
        <v>316.25</v>
      </c>
      <c r="E24" s="14">
        <v>56.657</v>
      </c>
      <c r="F24" s="14" t="s">
        <v>12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0" t="s">
        <v>27</v>
      </c>
      <c r="B25" s="13">
        <f t="shared" si="2"/>
        <v>527.215</v>
      </c>
      <c r="C25" s="14">
        <v>38.465</v>
      </c>
      <c r="D25" s="14">
        <v>327.3</v>
      </c>
      <c r="E25" s="14">
        <v>161.45</v>
      </c>
      <c r="F25" s="14" t="s">
        <v>12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0" t="s">
        <v>28</v>
      </c>
      <c r="B26" s="13">
        <f t="shared" si="2"/>
        <v>654.48</v>
      </c>
      <c r="C26" s="14" t="s">
        <v>12</v>
      </c>
      <c r="D26" s="14">
        <v>287.0</v>
      </c>
      <c r="E26" s="14">
        <v>353.98</v>
      </c>
      <c r="F26" s="14">
        <v>13.5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0" t="s">
        <v>29</v>
      </c>
      <c r="B27" s="13">
        <f t="shared" si="2"/>
        <v>270.35</v>
      </c>
      <c r="C27" s="14">
        <v>2.5</v>
      </c>
      <c r="D27" s="14">
        <v>218.35</v>
      </c>
      <c r="E27" s="14">
        <v>49.5</v>
      </c>
      <c r="F27" s="14" t="s">
        <v>12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9.0" customHeight="1">
      <c r="A28" s="10"/>
      <c r="B28" s="16"/>
      <c r="C28" s="14"/>
      <c r="D28" s="14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2.75" customHeight="1">
      <c r="A29" s="18" t="s">
        <v>30</v>
      </c>
      <c r="B29" s="19"/>
      <c r="C29" s="19"/>
      <c r="D29" s="19"/>
      <c r="E29" s="19"/>
      <c r="F29" s="20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2.75" customHeight="1">
      <c r="A30" s="21" t="s">
        <v>31</v>
      </c>
      <c r="B30" s="19"/>
      <c r="C30" s="19"/>
      <c r="D30" s="19"/>
      <c r="E30" s="19"/>
      <c r="F30" s="20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2.75" customHeight="1">
      <c r="A31" s="21" t="s">
        <v>32</v>
      </c>
      <c r="B31" s="19"/>
      <c r="C31" s="19"/>
      <c r="D31" s="19"/>
      <c r="E31" s="19"/>
      <c r="F31" s="20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9.0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2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2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2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2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2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2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2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2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2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2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2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2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2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2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2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2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2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2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2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2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2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2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2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2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2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2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2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2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2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2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2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2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2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2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2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2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2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2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2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2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2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2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2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2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2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2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2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2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2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2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2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2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2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2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2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2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2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2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2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2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2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2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2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2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2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2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2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2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2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2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2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2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2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2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2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2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2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2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2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2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2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2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2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2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2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2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2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2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2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2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2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2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2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2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2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2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2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2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2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2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2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2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2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2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2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2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2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2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2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2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2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2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2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2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2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2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2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2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2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2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2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2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2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2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2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2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2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2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2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2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2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2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2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2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2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2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2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2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2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2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2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2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2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2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2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2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2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2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2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2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2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2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2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2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2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2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2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2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2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2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2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2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2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2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2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2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2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2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2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2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2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2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2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2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2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2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2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2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2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2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2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2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2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2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2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2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2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2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2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2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2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2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2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2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2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2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2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2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2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4">
    <mergeCell ref="A1:F2"/>
    <mergeCell ref="A29:F29"/>
    <mergeCell ref="A30:F30"/>
    <mergeCell ref="A31:F31"/>
  </mergeCells>
  <printOptions/>
  <pageMargins bottom="0.75" footer="0.0" header="0.0" left="0.7" right="0.7" top="0.75"/>
  <pageSetup orientation="landscape"/>
  <headerFooter>
    <oddFooter>&amp;C 265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1999-03-01T16:07:39Z</dcterms:created>
  <dc:creator>DellGL1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str>e745cf7f-246b-4270-ba18-40a076c47caa</vt:lpstr>
  </property>
</Properties>
</file>